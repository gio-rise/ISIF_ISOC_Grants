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nts Tracker" sheetId="1" state="visible" r:id="rId3"/>
    <sheet name="Summary" sheetId="2" state="visible" r:id="rId4"/>
  </sheets>
  <definedNames>
    <definedName function="false" hidden="true" localSheetId="0" name="_xlnm._FilterDatabase" vbProcedure="false">'Grants Tracker'!$A$1:$O$18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<sst xmlns="http://schemas.openxmlformats.org/spreadsheetml/2006/main" count="293" uniqueCount="249">
  <si>
    <t xml:space="preserve">Funder</t>
  </si>
  <si>
    <t xml:space="preserve">Program</t>
  </si>
  <si>
    <t xml:space="preserve">Round / Year</t>
  </si>
  <si>
    <t xml:space="preserve">Focus Fit</t>
  </si>
  <si>
    <t xml:space="preserve">PH Eligible?</t>
  </si>
  <si>
    <t xml:space="preserve">Grant Amount (USD)</t>
  </si>
  <si>
    <t xml:space="preserve">Duration</t>
  </si>
  <si>
    <t xml:space="preserve">Deadline (2026)</t>
  </si>
  <si>
    <t xml:space="preserve">Status</t>
  </si>
  <si>
    <t xml:space="preserve">Eligibility Notes</t>
  </si>
  <si>
    <t xml:space="preserve">What it Funds</t>
  </si>
  <si>
    <t xml:space="preserve">Fit Score (1-5)</t>
  </si>
  <si>
    <t xml:space="preserve">Priority</t>
  </si>
  <si>
    <t xml:space="preserve">Next Action</t>
  </si>
  <si>
    <t xml:space="preserve">Link</t>
  </si>
  <si>
    <t xml:space="preserve">APNIC Foundation</t>
  </si>
  <si>
    <t xml:space="preserve">ISIF Asia — Infrastructure category</t>
  </si>
  <si>
    <t xml:space="preserve">2026 (annual)</t>
  </si>
  <si>
    <t xml:space="preserve">IXP / peering / routing / community networks</t>
  </si>
  <si>
    <t xml:space="preserve">Yes</t>
  </si>
  <si>
    <t xml:space="preserve">20,000 / 50,000 / 75,000 (three tiers)</t>
  </si>
  <si>
    <t xml:space="preserve">12–24 months typical</t>
  </si>
  <si>
    <t xml:space="preserve">24 Apr 2026 (concept note)</t>
  </si>
  <si>
    <t xml:space="preserve">OPEN — concept note stage</t>
  </si>
  <si>
    <t xml:space="preserve">APAC-based legally registered orgs (public, private, academia, non-profit, social enterprise); individuals NOT eligible; must be able to receive funds from an Australian charity.</t>
  </si>
  <si>
    <t xml:space="preserve">Deployment/upgrade/optimization of IXPs, peering, DNS security, routing security (RPKI/MANRS), caches; hardware/software for peering and interconnection.</t>
  </si>
  <si>
    <t xml:space="preserve">P0 — apply now</t>
  </si>
  <si>
    <t xml:space="preserve">Draft concept note against 3 categories; decide tier; align with infrastructure focus area</t>
  </si>
  <si>
    <t xml:space="preserve">https://apnic.foundation/isif-asia-2026-open-for-concept-notes/</t>
  </si>
  <si>
    <t xml:space="preserve">ISIF Asia — Capability category</t>
  </si>
  <si>
    <t xml:space="preserve">Capacity building / training / fellowships</t>
  </si>
  <si>
    <t xml:space="preserve">Same as above. Organizations only.</t>
  </si>
  <si>
    <t xml:space="preserve">Technical training, mentoring, fellowships, exchange programs that build network engineering capacity.</t>
  </si>
  <si>
    <t xml:space="preserve">P0 — apply (or roll into one larger bid)</t>
  </si>
  <si>
    <t xml:space="preserve">Decide whether to submit separately or combine with infrastructure bid; align with ISIF's capability framing</t>
  </si>
  <si>
    <t xml:space="preserve">https://apnic.foundation/grants/isif-asia/</t>
  </si>
  <si>
    <t xml:space="preserve">APNIC Foundation Research Fellowship</t>
  </si>
  <si>
    <t xml:space="preserve">2026</t>
  </si>
  <si>
    <t xml:space="preserve">Applied research on digital infrastructure</t>
  </si>
  <si>
    <t xml:space="preserve">Yes (APAC individuals)</t>
  </si>
  <si>
    <t xml:space="preserve">10,000 (stipend per fellow)</t>
  </si>
  <si>
    <t xml:space="preserve">8 months (Apr–Nov 2026)</t>
  </si>
  <si>
    <t xml:space="preserve">Closed for 2026 cycle — track for 2027</t>
  </si>
  <si>
    <t xml:space="preserve">WATCH — 2027 cycle</t>
  </si>
  <si>
    <t xml:space="preserve">Individuals. Includes senior engineers, systems architects, infra specialists with deployment experience. Remote-first.</t>
  </si>
  <si>
    <t xml:space="preserve">Applied research projects translating operational challenges into documented technical roadmaps / best-practice frameworks.</t>
  </si>
  <si>
    <t xml:space="preserve">P2 — pipeline for 2027</t>
  </si>
  <si>
    <t xml:space="preserve">Identify a fellow candidate on the team (e.g., peering/RPKI operator); reserve for 2027 call</t>
  </si>
  <si>
    <t xml:space="preserve">https://apnic.foundation/grants/research-fellowships/</t>
  </si>
  <si>
    <t xml:space="preserve">Switch! (Supporting Women In Technical and ResearCH roles)</t>
  </si>
  <si>
    <t xml:space="preserve">Gender diversity in network operations/security</t>
  </si>
  <si>
    <t xml:space="preserve">Yes (PH is in-scope)</t>
  </si>
  <si>
    <t xml:space="preserve">Not a direct grant — training/mentorship access</t>
  </si>
  <si>
    <t xml:space="preserve">Annual cohort</t>
  </si>
  <si>
    <t xml:space="preserve">Rolling / annual intake</t>
  </si>
  <si>
    <t xml:space="preserve">OPEN — partnership</t>
  </si>
  <si>
    <t xml:space="preserve">Women and gender-diverse technical staff in Cambodia, Laos, Philippines, Thailand, Timor-Leste, Vietnam. ~150 participants/yr across 6 economies.</t>
  </si>
  <si>
    <t xml:space="preserve">Training and mentoring in network ops, routing, security; conference participation (e.g., APRICOT).</t>
  </si>
  <si>
    <t xml:space="preserve">P2 — nominate staff</t>
  </si>
  <si>
    <t xml:space="preserve">Identify women/gender-diverse team members and nominate into the next cohort; leverage for Rise capacity</t>
  </si>
  <si>
    <t xml:space="preserve">https://apnic.foundation/projects/switch-fostering-womens-technical-participation-in-the-internet-industry-in-south-east-asia/</t>
  </si>
  <si>
    <t xml:space="preserve">Building Capabilities in the Asia Pacific</t>
  </si>
  <si>
    <t xml:space="preserve">Technical training / mentorship for teams</t>
  </si>
  <si>
    <t xml:space="preserve">Varies (team-based package)</t>
  </si>
  <si>
    <t xml:space="preserve">Varies</t>
  </si>
  <si>
    <t xml:space="preserve">Rolling — 2026 applications open</t>
  </si>
  <si>
    <t xml:space="preserve">OPEN</t>
  </si>
  <si>
    <t xml:space="preserve">Teams in the APAC region seeking structured technical training and mentorship.</t>
  </si>
  <si>
    <t xml:space="preserve">Curated technical training programs and mentorship for engineering teams.</t>
  </si>
  <si>
    <t xml:space="preserve">P1 — apply in parallel with ISIF</t>
  </si>
  <si>
    <t xml:space="preserve">Define team training needs (BGP, RPKI, peering ops, IXP management); apply</t>
  </si>
  <si>
    <t xml:space="preserve">https://apnic.foundation/building-capabilities-in-the-asia-pacific-is-accepting-applications-for-2026/</t>
  </si>
  <si>
    <t xml:space="preserve">APNIC</t>
  </si>
  <si>
    <t xml:space="preserve">APNIC Fellowship (community)</t>
  </si>
  <si>
    <t xml:space="preserve">2026 — APNIC 59 Mumbai</t>
  </si>
  <si>
    <t xml:space="preserve">Individual travel fellowship to APNIC conferences</t>
  </si>
  <si>
    <t xml:space="preserve">Travel + registration covered</t>
  </si>
  <si>
    <t xml:space="preserve">Event-bound</t>
  </si>
  <si>
    <t xml:space="preserve">Closed (was 27 Feb–13 Mar 2026) — next call mid-2026 for APNIC 60</t>
  </si>
  <si>
    <t xml:space="preserve">WATCH — next intake</t>
  </si>
  <si>
    <t xml:space="preserve">Early/mid-career APAC individuals. Professional, Youth, Returning, and Policy streams.</t>
  </si>
  <si>
    <t xml:space="preserve">Funded travel and training at APNIC conferences; community integration.</t>
  </si>
  <si>
    <t xml:space="preserve">P2 — pipeline</t>
  </si>
  <si>
    <t xml:space="preserve">Prepare 1–2 staff bios for next APNIC fellowship intake</t>
  </si>
  <si>
    <t xml:space="preserve">https://www.apnic.net/community/fellowship/</t>
  </si>
  <si>
    <t xml:space="preserve">Internet Society Foundation</t>
  </si>
  <si>
    <t xml:space="preserve">Sustainable Peering Infrastructure (SPI)</t>
  </si>
  <si>
    <t xml:space="preserve">IXP establishment / enhancement + peering ecosystem</t>
  </si>
  <si>
    <t xml:space="preserve">Yes but weaker fit — PH is NOT LDC/SIDS</t>
  </si>
  <si>
    <t xml:space="preserve">Up to 50,000 (IXP Support) / up to 25,000 (Peering Ecosystem)</t>
  </si>
  <si>
    <t xml:space="preserve">Typically 12 months</t>
  </si>
  <si>
    <t xml:space="preserve">23 Apr 2026, 21:00 UTC</t>
  </si>
  <si>
    <t xml:space="preserve">OPEN — low-preference for PH</t>
  </si>
  <si>
    <t xml:space="preserve">Worldwide orgs. STRONG preference for LDC/SIDS. Philippines is neither, so competitive for PH applicants but not blocked.</t>
  </si>
  <si>
    <t xml:space="preserve">Establishing new IXPs or enhancing existing ones; events/workshops/community activities for peering.</t>
  </si>
  <si>
    <t xml:space="preserve">P1 — apply for Peering Ecosystem Support (events/community) where PH fit is stronger</t>
  </si>
  <si>
    <t xml:space="preserve">Scope a peering-community event or PH/regional peering workshop as the Peering Ecosystem ask</t>
  </si>
  <si>
    <t xml:space="preserve">https://www.isocfoundation.org/grant-programme/sustainable-peering-infrastructure/</t>
  </si>
  <si>
    <t xml:space="preserve">Research Grant Program</t>
  </si>
  <si>
    <t xml:space="preserve">Internet research (inclusive internet, greening)</t>
  </si>
  <si>
    <t xml:space="preserve">Yes (worldwide)</t>
  </si>
  <si>
    <t xml:space="preserve">200,000 – 500,000</t>
  </si>
  <si>
    <t xml:space="preserve">Up to 24 months typical</t>
  </si>
  <si>
    <t xml:space="preserve">22 May 2026, 21:00 UTC</t>
  </si>
  <si>
    <t xml:space="preserve">OPEN (applications 7 Apr – 22 May 2026)</t>
  </si>
  <si>
    <t xml:space="preserve">Individual researchers and orgs worldwide. Submit via Fluxx.</t>
  </si>
  <si>
    <t xml:space="preserve">Research on inclusive internet (access, affordability, community networks) and greening the internet (env. impact, energy).</t>
  </si>
  <si>
    <t xml:space="preserve">P1 — serious contender if paired with academic partner</t>
  </si>
  <si>
    <t xml:space="preserve">Find a PH academic partner (e.g., ASTI/UP Diliman); scope a measurable research question tied to peering/affordability</t>
  </si>
  <si>
    <t xml:space="preserve">https://www.isocfoundation.org/grant-programme/research-grant-programme/</t>
  </si>
  <si>
    <t xml:space="preserve">Beyond the Net</t>
  </si>
  <si>
    <t xml:space="preserve">2026 (rolling/annual)</t>
  </si>
  <si>
    <t xml:space="preserve">Community internet impact projects</t>
  </si>
  <si>
    <t xml:space="preserve">Only via ISOC Philippines Chapter</t>
  </si>
  <si>
    <t xml:space="preserve">Up to 55,000</t>
  </si>
  <si>
    <t xml:space="preserve">~12 months</t>
  </si>
  <si>
    <t xml:space="preserve">Check Chapter cycle</t>
  </si>
  <si>
    <t xml:space="preserve">WATCH — needs Chapter route</t>
  </si>
  <si>
    <t xml:space="preserve">ONLY for ISOC Chapters. Rise would need to partner with or apply via ISOC Philippines Chapter.</t>
  </si>
  <si>
    <t xml:space="preserve">Chapter-led innovative local impact projects that expand meaningful access.</t>
  </si>
  <si>
    <t xml:space="preserve">P2 — partner with ISOC PH Chapter</t>
  </si>
  <si>
    <t xml:space="preserve">Contact ISOC Philippines Chapter leadership; explore co-applicant or implementing partner role</t>
  </si>
  <si>
    <t xml:space="preserve">https://www.isocfoundation.org/grant-programme/beyond-the-net-grant-program/</t>
  </si>
  <si>
    <t xml:space="preserve">SCILLS</t>
  </si>
  <si>
    <t xml:space="preserve">Skills/livelihoods through internet</t>
  </si>
  <si>
    <t xml:space="preserve">No (PH not a focus country)</t>
  </si>
  <si>
    <t xml:space="preserve">Up to 300,000</t>
  </si>
  <si>
    <t xml:space="preserve">30 months</t>
  </si>
  <si>
    <t xml:space="preserve">2026 cycle is INVITATION-ONLY</t>
  </si>
  <si>
    <t xml:space="preserve">CLOSED for PH</t>
  </si>
  <si>
    <t xml:space="preserve">Current focus countries: Bangladesh, Brazil, Colombia, Ghana, Indonesia, Senegal. Philippines is not in-scope.</t>
  </si>
  <si>
    <t xml:space="preserve">Economic growth, health, education via internet skills.</t>
  </si>
  <si>
    <t xml:space="preserve">Drop</t>
  </si>
  <si>
    <t xml:space="preserve">Not applicable — remove unless PH added in future cycles</t>
  </si>
  <si>
    <t xml:space="preserve">https://www.isocfoundation.org/grant-programme/scills-grant-programme/</t>
  </si>
  <si>
    <t xml:space="preserve">IGF / SIG Event Support</t>
  </si>
  <si>
    <t xml:space="preserve">Policy/event support</t>
  </si>
  <si>
    <t xml:space="preserve">Varies (event budget)</t>
  </si>
  <si>
    <t xml:space="preserve">Rolling</t>
  </si>
  <si>
    <t xml:space="preserve">Organizers of national/regional IGFs and SIGs (Schools on Internet Governance).</t>
  </si>
  <si>
    <t xml:space="preserve">Support for IGF and SIG events.</t>
  </si>
  <si>
    <t xml:space="preserve">P3 — if organizing a PH peering/IGF event</t>
  </si>
  <si>
    <t xml:space="preserve">Consider if Rise is hosting a Philippine IGF- or peering-track event</t>
  </si>
  <si>
    <t xml:space="preserve">https://www.isocfoundation.org/grant-programme/internet-governance-forum-events/</t>
  </si>
  <si>
    <t xml:space="preserve">ICANN</t>
  </si>
  <si>
    <t xml:space="preserve">ICANN Grant Program</t>
  </si>
  <si>
    <t xml:space="preserve">Periodic cycles</t>
  </si>
  <si>
    <t xml:space="preserve">Internet ecosystem infrastructure, DNS, community, capacity</t>
  </si>
  <si>
    <t xml:space="preserve">50,000 – 500,000 (prior cycles)</t>
  </si>
  <si>
    <t xml:space="preserve">Check current cycle status</t>
  </si>
  <si>
    <t xml:space="preserve">WATCH — check current cycle</t>
  </si>
  <si>
    <t xml:space="preserve">Funded by gTLD auction proceeds. First cycle was $10M across 20+ grants; overall $200M program.</t>
  </si>
  <si>
    <t xml:space="preserve">Projects that develop and expand a single, interoperable Internet; DNS, security, capacity building, community support.</t>
  </si>
  <si>
    <t xml:space="preserve">P1 — strong fit if cycle open</t>
  </si>
  <si>
    <t xml:space="preserve">Confirm next application window; scope a bid around routing security / IXP capacity in PH</t>
  </si>
  <si>
    <t xml:space="preserve">https://www.icann.org/en/grant-program</t>
  </si>
  <si>
    <t xml:space="preserve">Network Startup Resource Center (NSRC)</t>
  </si>
  <si>
    <t xml:space="preserve">Workshop / trainer partnership</t>
  </si>
  <si>
    <t xml:space="preserve">Ongoing</t>
  </si>
  <si>
    <t xml:space="preserve">Capacity building — hands-on network training</t>
  </si>
  <si>
    <t xml:space="preserve">Yes (active in PH)</t>
  </si>
  <si>
    <t xml:space="preserve">In-kind (trainers, curriculum, equipment loans)</t>
  </si>
  <si>
    <t xml:space="preserve">Workshop-bound</t>
  </si>
  <si>
    <t xml:space="preserve">Host institutions (academic/ISP/community) coordinate with NSRC. NSRC is NSF-funded, Google-backed.</t>
  </si>
  <si>
    <t xml:space="preserve">Campus Network Design &amp; Ops workshops, BGP/peering ops, network management, routing. Active in PH (DOST-ASTI, CSPC, MMSU).</t>
  </si>
  <si>
    <t xml:space="preserve">P1 — low-effort, high-value partnership</t>
  </si>
  <si>
    <t xml:space="preserve">Reach out to NSRC to co-organize a PH peering/IXP operations workshop</t>
  </si>
  <si>
    <t xml:space="preserve">https://nsrc.org/</t>
  </si>
  <si>
    <t xml:space="preserve">IDRC (Canada)</t>
  </si>
  <si>
    <t xml:space="preserve">International Joint Initiative for Research — Disruptive Tech</t>
  </si>
  <si>
    <t xml:space="preserve">Applied research with international partners</t>
  </si>
  <si>
    <t xml:space="preserve">Yes (worldwide via multi-country teams)</t>
  </si>
  <si>
    <t xml:space="preserve">Varies (multi-country consortium)</t>
  </si>
  <si>
    <t xml:space="preserve">Multi-year</t>
  </si>
  <si>
    <t xml:space="preserve">LOI due 9 Jun 2026 (NOI was 3 Mar 2026)</t>
  </si>
  <si>
    <t xml:space="preserve">PARTIAL — NOI deadline passed</t>
  </si>
  <si>
    <t xml:space="preserve">Requires multi-country research team. Canadian lead plus Global South partners.</t>
  </si>
  <si>
    <t xml:space="preserve">Multi-country research addressing global challenges via disruptive tech.</t>
  </si>
  <si>
    <t xml:space="preserve">P3 — only if a partnership lead exists</t>
  </si>
  <si>
    <t xml:space="preserve">Check whether a Canadian research partner would add Rise to an LOI before Jun 9</t>
  </si>
  <si>
    <t xml:space="preserve">https://idrc-crdi.ca/en/funding/2026-international-joint-initiative-research-harnessing-disruptive-technologies-address</t>
  </si>
  <si>
    <t xml:space="preserve">Asia Pacific Foundation of Canada (APF Canada)</t>
  </si>
  <si>
    <t xml:space="preserve">Canada–Asia Joint Research Grants 2026–2027</t>
  </si>
  <si>
    <t xml:space="preserve">Policy research</t>
  </si>
  <si>
    <t xml:space="preserve">Yes (PH is in Indo-Pacific scope)</t>
  </si>
  <si>
    <t xml:space="preserve">Up to C$40,000</t>
  </si>
  <si>
    <t xml:space="preserve">2026–2027</t>
  </si>
  <si>
    <t xml:space="preserve">Closed 15 Mar 2026</t>
  </si>
  <si>
    <t xml:space="preserve">CLOSED for 2026 — WATCH 2027</t>
  </si>
  <si>
    <t xml:space="preserve">Joint Canada + Indo-Pacific institution. Policy-relevant research.</t>
  </si>
  <si>
    <t xml:space="preserve">Actionable, policy-relevant research on Canada's engagement with Indo-Pacific.</t>
  </si>
  <si>
    <t xml:space="preserve">P3 — pipeline for 2027</t>
  </si>
  <si>
    <t xml:space="preserve">Identify Canadian policy partner now for next cycle</t>
  </si>
  <si>
    <t xml:space="preserve">https://www.asiapacific.ca/canada-asia-joint-research-grants-2026-2027</t>
  </si>
  <si>
    <t xml:space="preserve">World Bank (via DICT)</t>
  </si>
  <si>
    <t xml:space="preserve">Philippines Digital Infrastructure Project Scale-Up</t>
  </si>
  <si>
    <t xml:space="preserve">Phase II (post-2024)</t>
  </si>
  <si>
    <t xml:space="preserve">National fiber backbone / broadband in underserved areas</t>
  </si>
  <si>
    <t xml:space="preserve">Indirect (via DICT)</t>
  </si>
  <si>
    <t xml:space="preserve">Sub-component amounts vary</t>
  </si>
  <si>
    <t xml:space="preserve">Rolling through DICT</t>
  </si>
  <si>
    <t xml:space="preserve">ACTIVE — via DICT</t>
  </si>
  <si>
    <t xml:space="preserve">Primary counterpart is the Government of the Philippines (DICT). Private orgs engage via PPPs or as contractors/sub-grantees.</t>
  </si>
  <si>
    <t xml:space="preserve">National fiber backbone, connectivity to rural schools/health facilities, BARMM/Mindanao expansion.</t>
  </si>
  <si>
    <t xml:space="preserve">P2 — engage DICT</t>
  </si>
  <si>
    <t xml:space="preserve">Map DICT programs where Rise can participate as partner/contractor; monitor TORs</t>
  </si>
  <si>
    <t xml:space="preserve">https://www.worldbank.org/en/news/press-release/2024/11/12/world-bank-helps-boost-digital-transformation-in-ph</t>
  </si>
  <si>
    <t xml:space="preserve">Internet Society — Asia-Pacific Bureau</t>
  </si>
  <si>
    <t xml:space="preserve">Chapter / community partnership</t>
  </si>
  <si>
    <t xml:space="preserve">Community network / infrastructure activities</t>
  </si>
  <si>
    <t xml:space="preserve">Yes (via ISOC PH)</t>
  </si>
  <si>
    <t xml:space="preserve">Varies by initiative</t>
  </si>
  <si>
    <t xml:space="preserve">Engagement via ISOC Philippines Chapter and APAC Bureau unlocks access to Beyond the Net, community network funding, and regional events.</t>
  </si>
  <si>
    <t xml:space="preserve">Policy, community networks, IXP/peering ecosystem, events (PhNOG, Philippine IP Peering Forum).</t>
  </si>
  <si>
    <t xml:space="preserve">P1 — relationship investment</t>
  </si>
  <si>
    <t xml:space="preserve">Schedule a meeting with ISOC PH Chapter leadership; co-author 1 joint proposal in 2026</t>
  </si>
  <si>
    <t xml:space="preserve">https://www.internetsociety.org/regions/asia-pacific/</t>
  </si>
  <si>
    <t xml:space="preserve">Grants pipeline — Rise (Philippines)</t>
  </si>
  <si>
    <t xml:space="preserve">Focus: IXPs &amp; peering, network research &amp; measurement, capacity building</t>
  </si>
  <si>
    <t xml:space="preserve">Tier</t>
  </si>
  <si>
    <t xml:space="preserve">Count</t>
  </si>
  <si>
    <t xml:space="preserve">Programs</t>
  </si>
  <si>
    <t xml:space="preserve">ISIF Asia (Infra), ISIF Asia (Capability)</t>
  </si>
  <si>
    <t xml:space="preserve">P1 — near-term</t>
  </si>
  <si>
    <t xml:space="preserve">Building Capabilities APAC, ISOC SPI (Peering Ecosystem), ISOC Research, ICANN Grant, NSRC partnership, ISOC APAC Bureau / PH Chapter</t>
  </si>
  <si>
    <t xml:space="preserve">APNIC Research Fellowship, Switch!, ISOC Beyond the Net (via Chapter), World Bank via DICT, APNIC Fellowship</t>
  </si>
  <si>
    <t xml:space="preserve">P3 — watch</t>
  </si>
  <si>
    <t xml:space="preserve">IDRC Joint Initiative, APF Canada, ISOC IGF/SIG</t>
  </si>
  <si>
    <t xml:space="preserve">Drop / not fit</t>
  </si>
  <si>
    <t xml:space="preserve">ISOC SCILLS</t>
  </si>
  <si>
    <t xml:space="preserve">Upcoming 2026 deadlines (in order)</t>
  </si>
  <si>
    <t xml:space="preserve">Deadline</t>
  </si>
  <si>
    <t xml:space="preserve">Amount</t>
  </si>
  <si>
    <t xml:space="preserve">23 Apr 2026</t>
  </si>
  <si>
    <t xml:space="preserve">ISOC Sustainable Peering Infrastructure</t>
  </si>
  <si>
    <t xml:space="preserve">50K / 25K USD</t>
  </si>
  <si>
    <t xml:space="preserve">24 Apr 2026</t>
  </si>
  <si>
    <t xml:space="preserve">ISIF Asia 2026 — concept notes</t>
  </si>
  <si>
    <t xml:space="preserve">20K / 50K / 75K USD</t>
  </si>
  <si>
    <t xml:space="preserve">22 May 2026</t>
  </si>
  <si>
    <t xml:space="preserve">ISOC Research Grant Program</t>
  </si>
  <si>
    <t xml:space="preserve">200K–500K USD</t>
  </si>
  <si>
    <t xml:space="preserve">9 Jun 2026</t>
  </si>
  <si>
    <t xml:space="preserve">IDRC Joint Initiative — LOI (if team joined NOI)</t>
  </si>
  <si>
    <t xml:space="preserve">APNIC Building Capabilities APAC</t>
  </si>
  <si>
    <t xml:space="preserve">ICANN Grant Program — next cycle</t>
  </si>
  <si>
    <t xml:space="preserve">50K–500K USD</t>
  </si>
  <si>
    <t xml:space="preserve">NSRC workshop partnership</t>
  </si>
  <si>
    <t xml:space="preserve">In-kind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</si>
</sst>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E1F2"/>
      </patternFill>
    </fill>
    <fill>
      <patternFill patternType="solid">
        <fgColor rgb="FFFFE699"/>
        <bgColor rgb="FFF8CBAD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9" min="8" style="0" width="22"/>
    <col collapsed="false" customWidth="true" hidden="false" outlineLevel="0" max="11" min="10" style="0" width="42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44"/>
    <col collapsed="false" customWidth="true" hidden="false" outlineLevel="0" max="15" min="15" style="0" width="60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46.2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n">
        <v>5</v>
      </c>
      <c r="M2" s="3" t="s">
        <v>26</v>
      </c>
      <c r="N2" s="2" t="s">
        <v>27</v>
      </c>
      <c r="O2" s="2" t="s">
        <v>28</v>
      </c>
    </row>
    <row r="3" customFormat="false" ht="35.05" hidden="false" customHeight="false" outlineLevel="0" collapsed="false">
      <c r="A3" s="2" t="s">
        <v>15</v>
      </c>
      <c r="B3" s="2" t="s">
        <v>29</v>
      </c>
      <c r="C3" s="2" t="s">
        <v>17</v>
      </c>
      <c r="D3" s="2" t="s">
        <v>30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31</v>
      </c>
      <c r="K3" s="2" t="s">
        <v>32</v>
      </c>
      <c r="L3" s="2" t="n">
        <v>5</v>
      </c>
      <c r="M3" s="3" t="s">
        <v>33</v>
      </c>
      <c r="N3" s="2" t="s">
        <v>34</v>
      </c>
      <c r="O3" s="2" t="s">
        <v>35</v>
      </c>
    </row>
    <row r="4" customFormat="false" ht="35.05" hidden="false" customHeight="false" outlineLevel="0" collapsed="false">
      <c r="A4" s="2" t="s">
        <v>15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n">
        <v>3</v>
      </c>
      <c r="M4" s="4" t="s">
        <v>46</v>
      </c>
      <c r="N4" s="2" t="s">
        <v>47</v>
      </c>
      <c r="O4" s="2" t="s">
        <v>48</v>
      </c>
    </row>
    <row r="5" customFormat="false" ht="46.25" hidden="false" customHeight="false" outlineLevel="0" collapsed="false">
      <c r="A5" s="2" t="s">
        <v>15</v>
      </c>
      <c r="B5" s="2" t="s">
        <v>49</v>
      </c>
      <c r="C5" s="2" t="s">
        <v>17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n">
        <v>3</v>
      </c>
      <c r="M5" s="4" t="s">
        <v>58</v>
      </c>
      <c r="N5" s="2" t="s">
        <v>59</v>
      </c>
      <c r="O5" s="2" t="s">
        <v>60</v>
      </c>
    </row>
    <row r="6" customFormat="false" ht="23.85" hidden="false" customHeight="false" outlineLevel="0" collapsed="false">
      <c r="A6" s="2" t="s">
        <v>15</v>
      </c>
      <c r="B6" s="2" t="s">
        <v>61</v>
      </c>
      <c r="C6" s="2" t="s">
        <v>37</v>
      </c>
      <c r="D6" s="2" t="s">
        <v>62</v>
      </c>
      <c r="E6" s="2" t="s">
        <v>19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n">
        <v>4</v>
      </c>
      <c r="M6" s="5" t="s">
        <v>69</v>
      </c>
      <c r="N6" s="2" t="s">
        <v>70</v>
      </c>
      <c r="O6" s="2" t="s">
        <v>71</v>
      </c>
    </row>
    <row r="7" customFormat="false" ht="35.05" hidden="false" customHeight="false" outlineLevel="0" collapsed="false">
      <c r="A7" s="2" t="s">
        <v>72</v>
      </c>
      <c r="B7" s="2" t="s">
        <v>73</v>
      </c>
      <c r="C7" s="2" t="s">
        <v>74</v>
      </c>
      <c r="D7" s="2" t="s">
        <v>75</v>
      </c>
      <c r="E7" s="2" t="s">
        <v>39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n">
        <v>3</v>
      </c>
      <c r="M7" s="4" t="s">
        <v>82</v>
      </c>
      <c r="N7" s="2" t="s">
        <v>83</v>
      </c>
      <c r="O7" s="2" t="s">
        <v>84</v>
      </c>
    </row>
    <row r="8" customFormat="false" ht="46.25" hidden="false" customHeight="false" outlineLevel="0" collapsed="false">
      <c r="A8" s="2" t="s">
        <v>85</v>
      </c>
      <c r="B8" s="2" t="s">
        <v>86</v>
      </c>
      <c r="C8" s="2" t="s">
        <v>37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93</v>
      </c>
      <c r="K8" s="2" t="s">
        <v>94</v>
      </c>
      <c r="L8" s="2" t="n">
        <v>3</v>
      </c>
      <c r="M8" s="5" t="s">
        <v>95</v>
      </c>
      <c r="N8" s="2" t="s">
        <v>96</v>
      </c>
      <c r="O8" s="2" t="s">
        <v>97</v>
      </c>
    </row>
    <row r="9" customFormat="false" ht="35.05" hidden="false" customHeight="false" outlineLevel="0" collapsed="false">
      <c r="A9" s="2" t="s">
        <v>85</v>
      </c>
      <c r="B9" s="2" t="s">
        <v>98</v>
      </c>
      <c r="C9" s="2" t="s">
        <v>37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2" t="s">
        <v>104</v>
      </c>
      <c r="J9" s="2" t="s">
        <v>105</v>
      </c>
      <c r="K9" s="2" t="s">
        <v>106</v>
      </c>
      <c r="L9" s="2" t="n">
        <v>4</v>
      </c>
      <c r="M9" s="5" t="s">
        <v>107</v>
      </c>
      <c r="N9" s="2" t="s">
        <v>108</v>
      </c>
      <c r="O9" s="2" t="s">
        <v>109</v>
      </c>
    </row>
    <row r="10" customFormat="false" ht="23.85" hidden="false" customHeight="false" outlineLevel="0" collapsed="false">
      <c r="A10" s="2" t="s">
        <v>85</v>
      </c>
      <c r="B10" s="2" t="s">
        <v>110</v>
      </c>
      <c r="C10" s="2" t="s">
        <v>111</v>
      </c>
      <c r="D10" s="2" t="s">
        <v>112</v>
      </c>
      <c r="E10" s="2" t="s">
        <v>113</v>
      </c>
      <c r="F10" s="2" t="s">
        <v>114</v>
      </c>
      <c r="G10" s="2" t="s">
        <v>115</v>
      </c>
      <c r="H10" s="2" t="s">
        <v>116</v>
      </c>
      <c r="I10" s="2" t="s">
        <v>117</v>
      </c>
      <c r="J10" s="2" t="s">
        <v>118</v>
      </c>
      <c r="K10" s="2" t="s">
        <v>119</v>
      </c>
      <c r="L10" s="2" t="n">
        <v>3</v>
      </c>
      <c r="M10" s="4" t="s">
        <v>120</v>
      </c>
      <c r="N10" s="2" t="s">
        <v>121</v>
      </c>
      <c r="O10" s="2" t="s">
        <v>122</v>
      </c>
    </row>
    <row r="11" customFormat="false" ht="35.05" hidden="false" customHeight="false" outlineLevel="0" collapsed="false">
      <c r="A11" s="2" t="s">
        <v>85</v>
      </c>
      <c r="B11" s="2" t="s">
        <v>123</v>
      </c>
      <c r="C11" s="2" t="s">
        <v>37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129</v>
      </c>
      <c r="J11" s="2" t="s">
        <v>130</v>
      </c>
      <c r="K11" s="2" t="s">
        <v>131</v>
      </c>
      <c r="L11" s="2" t="n">
        <v>1</v>
      </c>
      <c r="M11" s="6" t="s">
        <v>132</v>
      </c>
      <c r="N11" s="2" t="s">
        <v>133</v>
      </c>
      <c r="O11" s="2" t="s">
        <v>134</v>
      </c>
    </row>
    <row r="12" customFormat="false" ht="23.85" hidden="false" customHeight="false" outlineLevel="0" collapsed="false">
      <c r="A12" s="2" t="s">
        <v>85</v>
      </c>
      <c r="B12" s="2" t="s">
        <v>135</v>
      </c>
      <c r="C12" s="2" t="s">
        <v>37</v>
      </c>
      <c r="D12" s="2" t="s">
        <v>136</v>
      </c>
      <c r="E12" s="2" t="s">
        <v>19</v>
      </c>
      <c r="F12" s="2" t="s">
        <v>137</v>
      </c>
      <c r="G12" s="2" t="s">
        <v>77</v>
      </c>
      <c r="H12" s="2" t="s">
        <v>138</v>
      </c>
      <c r="I12" s="2" t="s">
        <v>66</v>
      </c>
      <c r="J12" s="2" t="s">
        <v>139</v>
      </c>
      <c r="K12" s="2" t="s">
        <v>140</v>
      </c>
      <c r="L12" s="2" t="n">
        <v>2</v>
      </c>
      <c r="M12" s="7" t="s">
        <v>141</v>
      </c>
      <c r="N12" s="2" t="s">
        <v>142</v>
      </c>
      <c r="O12" s="2" t="s">
        <v>143</v>
      </c>
    </row>
    <row r="13" customFormat="false" ht="35.05" hidden="false" customHeight="false" outlineLevel="0" collapsed="false">
      <c r="A13" s="2" t="s">
        <v>144</v>
      </c>
      <c r="B13" s="2" t="s">
        <v>145</v>
      </c>
      <c r="C13" s="2" t="s">
        <v>146</v>
      </c>
      <c r="D13" s="2" t="s">
        <v>147</v>
      </c>
      <c r="E13" s="2" t="s">
        <v>100</v>
      </c>
      <c r="F13" s="2" t="s">
        <v>148</v>
      </c>
      <c r="G13" s="2" t="s">
        <v>64</v>
      </c>
      <c r="H13" s="2" t="s">
        <v>149</v>
      </c>
      <c r="I13" s="2" t="s">
        <v>150</v>
      </c>
      <c r="J13" s="2" t="s">
        <v>151</v>
      </c>
      <c r="K13" s="2" t="s">
        <v>152</v>
      </c>
      <c r="L13" s="2" t="n">
        <v>4</v>
      </c>
      <c r="M13" s="5" t="s">
        <v>153</v>
      </c>
      <c r="N13" s="2" t="s">
        <v>154</v>
      </c>
      <c r="O13" s="2" t="s">
        <v>155</v>
      </c>
    </row>
    <row r="14" customFormat="false" ht="35.05" hidden="false" customHeight="false" outlineLevel="0" collapsed="false">
      <c r="A14" s="2" t="s">
        <v>156</v>
      </c>
      <c r="B14" s="2" t="s">
        <v>157</v>
      </c>
      <c r="C14" s="2" t="s">
        <v>158</v>
      </c>
      <c r="D14" s="2" t="s">
        <v>159</v>
      </c>
      <c r="E14" s="2" t="s">
        <v>160</v>
      </c>
      <c r="F14" s="2" t="s">
        <v>161</v>
      </c>
      <c r="G14" s="2" t="s">
        <v>162</v>
      </c>
      <c r="H14" s="2" t="s">
        <v>138</v>
      </c>
      <c r="I14" s="2" t="s">
        <v>55</v>
      </c>
      <c r="J14" s="2" t="s">
        <v>163</v>
      </c>
      <c r="K14" s="2" t="s">
        <v>164</v>
      </c>
      <c r="L14" s="2" t="n">
        <v>4</v>
      </c>
      <c r="M14" s="5" t="s">
        <v>165</v>
      </c>
      <c r="N14" s="2" t="s">
        <v>166</v>
      </c>
      <c r="O14" s="2" t="s">
        <v>167</v>
      </c>
    </row>
    <row r="15" customFormat="false" ht="23.85" hidden="false" customHeight="false" outlineLevel="0" collapsed="false">
      <c r="A15" s="2" t="s">
        <v>168</v>
      </c>
      <c r="B15" s="2" t="s">
        <v>169</v>
      </c>
      <c r="C15" s="2" t="s">
        <v>37</v>
      </c>
      <c r="D15" s="2" t="s">
        <v>170</v>
      </c>
      <c r="E15" s="2" t="s">
        <v>171</v>
      </c>
      <c r="F15" s="2" t="s">
        <v>172</v>
      </c>
      <c r="G15" s="2" t="s">
        <v>173</v>
      </c>
      <c r="H15" s="2" t="s">
        <v>174</v>
      </c>
      <c r="I15" s="2" t="s">
        <v>175</v>
      </c>
      <c r="J15" s="2" t="s">
        <v>176</v>
      </c>
      <c r="K15" s="2" t="s">
        <v>177</v>
      </c>
      <c r="L15" s="2" t="n">
        <v>2</v>
      </c>
      <c r="M15" s="7" t="s">
        <v>178</v>
      </c>
      <c r="N15" s="2" t="s">
        <v>179</v>
      </c>
      <c r="O15" s="2" t="s">
        <v>180</v>
      </c>
    </row>
    <row r="16" customFormat="false" ht="23.85" hidden="false" customHeight="false" outlineLevel="0" collapsed="false">
      <c r="A16" s="2" t="s">
        <v>181</v>
      </c>
      <c r="B16" s="2" t="s">
        <v>182</v>
      </c>
      <c r="C16" s="2" t="s">
        <v>37</v>
      </c>
      <c r="D16" s="2" t="s">
        <v>183</v>
      </c>
      <c r="E16" s="2" t="s">
        <v>184</v>
      </c>
      <c r="F16" s="2" t="s">
        <v>185</v>
      </c>
      <c r="G16" s="2" t="s">
        <v>186</v>
      </c>
      <c r="H16" s="2" t="s">
        <v>187</v>
      </c>
      <c r="I16" s="2" t="s">
        <v>188</v>
      </c>
      <c r="J16" s="2" t="s">
        <v>189</v>
      </c>
      <c r="K16" s="2" t="s">
        <v>190</v>
      </c>
      <c r="L16" s="2" t="n">
        <v>2</v>
      </c>
      <c r="M16" s="7" t="s">
        <v>191</v>
      </c>
      <c r="N16" s="2" t="s">
        <v>192</v>
      </c>
      <c r="O16" s="2" t="s">
        <v>193</v>
      </c>
    </row>
    <row r="17" customFormat="false" ht="35.05" hidden="false" customHeight="false" outlineLevel="0" collapsed="false">
      <c r="A17" s="2" t="s">
        <v>194</v>
      </c>
      <c r="B17" s="2" t="s">
        <v>195</v>
      </c>
      <c r="C17" s="2" t="s">
        <v>196</v>
      </c>
      <c r="D17" s="2" t="s">
        <v>197</v>
      </c>
      <c r="E17" s="2" t="s">
        <v>198</v>
      </c>
      <c r="F17" s="2" t="s">
        <v>199</v>
      </c>
      <c r="G17" s="2" t="s">
        <v>173</v>
      </c>
      <c r="H17" s="2" t="s">
        <v>200</v>
      </c>
      <c r="I17" s="2" t="s">
        <v>201</v>
      </c>
      <c r="J17" s="2" t="s">
        <v>202</v>
      </c>
      <c r="K17" s="2" t="s">
        <v>203</v>
      </c>
      <c r="L17" s="2" t="n">
        <v>3</v>
      </c>
      <c r="M17" s="4" t="s">
        <v>204</v>
      </c>
      <c r="N17" s="2" t="s">
        <v>205</v>
      </c>
      <c r="O17" s="2" t="s">
        <v>206</v>
      </c>
    </row>
    <row r="18" customFormat="false" ht="35.05" hidden="false" customHeight="false" outlineLevel="0" collapsed="false">
      <c r="A18" s="2" t="s">
        <v>207</v>
      </c>
      <c r="B18" s="2" t="s">
        <v>208</v>
      </c>
      <c r="C18" s="2" t="s">
        <v>158</v>
      </c>
      <c r="D18" s="2" t="s">
        <v>209</v>
      </c>
      <c r="E18" s="2" t="s">
        <v>210</v>
      </c>
      <c r="F18" s="2" t="s">
        <v>211</v>
      </c>
      <c r="G18" s="2" t="s">
        <v>64</v>
      </c>
      <c r="H18" s="2" t="s">
        <v>138</v>
      </c>
      <c r="I18" s="2" t="s">
        <v>66</v>
      </c>
      <c r="J18" s="2" t="s">
        <v>212</v>
      </c>
      <c r="K18" s="2" t="s">
        <v>213</v>
      </c>
      <c r="L18" s="2" t="n">
        <v>4</v>
      </c>
      <c r="M18" s="5" t="s">
        <v>214</v>
      </c>
      <c r="N18" s="2" t="s">
        <v>215</v>
      </c>
      <c r="O18" s="2" t="s">
        <v>216</v>
      </c>
    </row>
  </sheetData>
  <autoFilter ref="A1:O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8" t="s">
        <v>217</v>
      </c>
    </row>
    <row r="2" customFormat="false" ht="15" hidden="false" customHeight="false" outlineLevel="0" collapsed="false">
      <c r="A2" s="9" t="s">
        <v>218</v>
      </c>
    </row>
    <row r="4" customFormat="false" ht="15" hidden="false" customHeight="false" outlineLevel="0" collapsed="false">
      <c r="A4" s="1" t="s">
        <v>219</v>
      </c>
      <c r="B4" s="1" t="s">
        <v>220</v>
      </c>
      <c r="C4" s="1" t="s">
        <v>221</v>
      </c>
    </row>
    <row r="5" customFormat="false" ht="15" hidden="false" customHeight="false" outlineLevel="0" collapsed="false">
      <c r="A5" s="2" t="s">
        <v>26</v>
      </c>
      <c r="B5" s="2" t="n">
        <f aca="false">COUNTIF('Grants Tracker'!M2:M18,"P0*")</f>
        <v>2</v>
      </c>
      <c r="C5" s="2" t="s">
        <v>222</v>
      </c>
    </row>
    <row r="6" customFormat="false" ht="23.85" hidden="false" customHeight="false" outlineLevel="0" collapsed="false">
      <c r="A6" s="2" t="s">
        <v>223</v>
      </c>
      <c r="B6" s="2" t="n">
        <f aca="false">COUNTIF('Grants Tracker'!M2:M18,"P1*")</f>
        <v>6</v>
      </c>
      <c r="C6" s="2" t="s">
        <v>224</v>
      </c>
    </row>
    <row r="7" customFormat="false" ht="23.85" hidden="false" customHeight="false" outlineLevel="0" collapsed="false">
      <c r="A7" s="2" t="s">
        <v>82</v>
      </c>
      <c r="B7" s="2" t="n">
        <f aca="false">COUNTIF('Grants Tracker'!M2:M18,"P2*")</f>
        <v>5</v>
      </c>
      <c r="C7" s="2" t="s">
        <v>225</v>
      </c>
    </row>
    <row r="8" customFormat="false" ht="15" hidden="false" customHeight="false" outlineLevel="0" collapsed="false">
      <c r="A8" s="2" t="s">
        <v>226</v>
      </c>
      <c r="B8" s="2" t="n">
        <f aca="false">COUNTIF('Grants Tracker'!M2:M18,"P3*")</f>
        <v>3</v>
      </c>
      <c r="C8" s="2" t="s">
        <v>227</v>
      </c>
    </row>
    <row r="9" customFormat="false" ht="15" hidden="false" customHeight="false" outlineLevel="0" collapsed="false">
      <c r="A9" s="2" t="s">
        <v>228</v>
      </c>
      <c r="B9" s="2" t="n">
        <f aca="false">COUNTIF('Grants Tracker'!M2:M18,"Drop*")</f>
        <v>1</v>
      </c>
      <c r="C9" s="2" t="s">
        <v>229</v>
      </c>
    </row>
    <row r="12" customFormat="false" ht="15" hidden="false" customHeight="false" outlineLevel="0" collapsed="false">
      <c r="A12" s="10" t="s">
        <v>230</v>
      </c>
    </row>
    <row r="13" customFormat="false" ht="15" hidden="false" customHeight="false" outlineLevel="0" collapsed="false">
      <c r="A13" s="1" t="s">
        <v>231</v>
      </c>
      <c r="B13" s="1" t="s">
        <v>1</v>
      </c>
      <c r="C13" s="1" t="s">
        <v>232</v>
      </c>
    </row>
    <row r="14" customFormat="false" ht="57.45" hidden="false" customHeight="false" outlineLevel="0" collapsed="false">
      <c r="A14" s="2" t="s">
        <v>233</v>
      </c>
      <c r="B14" s="2" t="s">
        <v>234</v>
      </c>
      <c r="C14" s="2" t="s">
        <v>235</v>
      </c>
    </row>
    <row r="15" customFormat="false" ht="46.25" hidden="false" customHeight="false" outlineLevel="0" collapsed="false">
      <c r="A15" s="2" t="s">
        <v>236</v>
      </c>
      <c r="B15" s="2" t="s">
        <v>237</v>
      </c>
      <c r="C15" s="2" t="s">
        <v>238</v>
      </c>
    </row>
    <row r="16" customFormat="false" ht="46.25" hidden="false" customHeight="false" outlineLevel="0" collapsed="false">
      <c r="A16" s="2" t="s">
        <v>239</v>
      </c>
      <c r="B16" s="2" t="s">
        <v>240</v>
      </c>
      <c r="C16" s="2" t="s">
        <v>241</v>
      </c>
    </row>
    <row r="17" customFormat="false" ht="46.25" hidden="false" customHeight="false" outlineLevel="0" collapsed="false">
      <c r="A17" s="2" t="s">
        <v>242</v>
      </c>
      <c r="B17" s="2" t="s">
        <v>243</v>
      </c>
      <c r="C17" s="2" t="s">
        <v>64</v>
      </c>
    </row>
    <row r="18" customFormat="false" ht="46.25" hidden="false" customHeight="false" outlineLevel="0" collapsed="false">
      <c r="A18" s="2" t="s">
        <v>138</v>
      </c>
      <c r="B18" s="2" t="s">
        <v>244</v>
      </c>
      <c r="C18" s="2" t="s">
        <v>64</v>
      </c>
    </row>
    <row r="19" customFormat="false" ht="46.25" hidden="false" customHeight="false" outlineLevel="0" collapsed="false">
      <c r="A19" s="2" t="s">
        <v>138</v>
      </c>
      <c r="B19" s="2" t="s">
        <v>245</v>
      </c>
      <c r="C19" s="2" t="s">
        <v>246</v>
      </c>
    </row>
    <row r="20" customFormat="false" ht="35.05" hidden="false" customHeight="false" outlineLevel="0" collapsed="false">
      <c r="A20" s="2" t="s">
        <v>138</v>
      </c>
      <c r="B20" s="2" t="s">
        <v>247</v>
      </c>
      <c r="C20" s="2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2026-04-14T02:52:22Z</dcterms:created>
  <dc:creator>openpyxl</dc:creator>
  <dc:description/>
  <dc:language>en-US</dc:language>
  <cp:lastModifiedBy/>
  <dcterms:modified xsi:type="dcterms:W3CDTF">2026-04-14T02:52:22Z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